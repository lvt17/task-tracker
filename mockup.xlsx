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rayaz\Downloads\"/>
    </mc:Choice>
  </mc:AlternateContent>
  <xr:revisionPtr revIDLastSave="0" documentId="8_{4518D65A-9DDB-452B-A568-2108C8D06278}" xr6:coauthVersionLast="47" xr6:coauthVersionMax="47" xr10:uidLastSave="{00000000-0000-0000-0000-000000000000}"/>
  <bookViews>
    <workbookView xWindow="28680" yWindow="-120" windowWidth="21840" windowHeight="13020" activeTab="1" xr2:uid="{00000000-000D-0000-FFFF-FFFF00000000}"/>
  </bookViews>
  <sheets>
    <sheet name="Summary" sheetId="1" r:id="rId1"/>
    <sheet name="Task Tracker" sheetId="2" r:id="rId2"/>
    <sheet name="Lookup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3" l="1"/>
  <c r="E4" i="3"/>
  <c r="B4" i="3"/>
  <c r="E3" i="3"/>
  <c r="B3" i="3"/>
  <c r="E2" i="3"/>
  <c r="B2" i="3"/>
  <c r="E14" i="1"/>
  <c r="B14" i="1"/>
  <c r="B13" i="1"/>
  <c r="E12" i="1"/>
  <c r="E13" i="1" s="1"/>
  <c r="B12" i="1"/>
  <c r="E8" i="1"/>
  <c r="B8" i="1"/>
  <c r="E7" i="1"/>
  <c r="B7" i="1"/>
  <c r="E6" i="1"/>
  <c r="B6" i="1"/>
  <c r="E5" i="1"/>
</calcChain>
</file>

<file path=xl/sharedStrings.xml><?xml version="1.0" encoding="utf-8"?>
<sst xmlns="http://schemas.openxmlformats.org/spreadsheetml/2006/main" count="181" uniqueCount="115">
  <si>
    <t>AM Daisy Requirement Analysis and Timelines</t>
  </si>
  <si>
    <t>Executive tracker based on provided requirement/task list</t>
  </si>
  <si>
    <t>Metric</t>
  </si>
  <si>
    <t>Value</t>
  </si>
  <si>
    <t>Status</t>
  </si>
  <si>
    <t>Count</t>
  </si>
  <si>
    <t>Total Tasks</t>
  </si>
  <si>
    <t>Done</t>
  </si>
  <si>
    <t>Completed</t>
  </si>
  <si>
    <t>Dev-Done</t>
  </si>
  <si>
    <t>In-Progress</t>
  </si>
  <si>
    <t>Pending</t>
  </si>
  <si>
    <t>Complexity</t>
  </si>
  <si>
    <t>Dependency Snapshot</t>
  </si>
  <si>
    <t>High</t>
  </si>
  <si>
    <t>Tasks With No Dependency</t>
  </si>
  <si>
    <t>Medium</t>
  </si>
  <si>
    <t>Tasks With External Dependency</t>
  </si>
  <si>
    <t>Low</t>
  </si>
  <si>
    <t>High Complexity Pending</t>
  </si>
  <si>
    <t>AM Daisy requirement analysis and timelines</t>
  </si>
  <si>
    <t>Prepared: 2026-07-03</t>
  </si>
  <si>
    <t>Task ID</t>
  </si>
  <si>
    <t>Client Q#</t>
  </si>
  <si>
    <t>Task Title &amp; Description</t>
  </si>
  <si>
    <t>Key Dependencies</t>
  </si>
  <si>
    <t>TASK-01</t>
  </si>
  <si>
    <t>Q2</t>
  </si>
  <si>
    <t>Fuzzy Duplicate Matching: Cross-field matching via rapidfuzz / recordlinkage</t>
  </si>
  <si>
    <t>None</t>
  </si>
  <si>
    <t>TASK-02</t>
  </si>
  <si>
    <t>Q3</t>
  </si>
  <si>
    <t>Multi-System Source Reconciliation: Aligning ERP/CRM schemas</t>
  </si>
  <si>
    <t>Sample schemas</t>
  </si>
  <si>
    <t>TASK-03</t>
  </si>
  <si>
    <t>Q4</t>
  </si>
  <si>
    <t>Hierarchy-Aware Matching: Parent-child relationship checks in validation</t>
  </si>
  <si>
    <t>Parent-child schema definitions</t>
  </si>
  <si>
    <t>TASK-04</t>
  </si>
  <si>
    <t>Q5</t>
  </si>
  <si>
    <t>Deterministic Golden Record Engine: Column-level merge priorities</t>
  </si>
  <si>
    <t>Governance priority rules</t>
  </si>
  <si>
    <t>TASK-05</t>
  </si>
  <si>
    <t>Q6</t>
  </si>
  <si>
    <t>Complex Fallbacks &amp; Coalescing: Timestamp-based field merging templates</t>
  </si>
  <si>
    <t>Fallback logic details</t>
  </si>
  <si>
    <t>TASK-06</t>
  </si>
  <si>
    <t>Q7</t>
  </si>
  <si>
    <t>Interactive Staging Dashboard UI: Steward override panel in Next.js</t>
  </si>
  <si>
    <t>Override API &amp; DB schema</t>
  </si>
  <si>
    <t>TASK-07</t>
  </si>
  <si>
    <t>Q11</t>
  </si>
  <si>
    <t>Draft/Approved Rule Workflows: Rules state machine in Prisma/FastAPI</t>
  </si>
  <si>
    <t>TASK-08</t>
  </si>
  <si>
    <t>Q12</t>
  </si>
  <si>
    <t>Centralized Audit Trails: Operation audit logging in PostgreSQL</t>
  </si>
  <si>
    <t>TASK-09</t>
  </si>
  <si>
    <t>Q15</t>
  </si>
  <si>
    <t>Pre-built ERP Connector Wrappers: SAP RFC/OData and Dynamics APIs</t>
  </si>
  <si>
    <t>ERP Sandbox Credentials/APIs</t>
  </si>
  <si>
    <t>TASK-10</t>
  </si>
  <si>
    <t>Q16</t>
  </si>
  <si>
    <t>FastAPI Ingestion Adapters: Batch adapters for enterprise pipelines</t>
  </si>
  <si>
    <t>API documentation</t>
  </si>
  <si>
    <t>TASK-11</t>
  </si>
  <si>
    <t>Q17</t>
  </si>
  <si>
    <t>HANA/SAP Staging Writebacks: Export drivers to SAP HANA staging tables</t>
  </si>
  <si>
    <t>Staging table write credentials</t>
  </si>
  <si>
    <t>TASK-12</t>
  </si>
  <si>
    <t>Q19</t>
  </si>
  <si>
    <t>SAP MDG Validation Translation: Parse and map MDG rule schemas to YAML</t>
  </si>
  <si>
    <t>MDG rule schema samples</t>
  </si>
  <si>
    <t>TASK-13</t>
  </si>
  <si>
    <t>Q20</t>
  </si>
  <si>
    <t>Orchestrated Sync Pipelines: Airflow/Prefect sync operators</t>
  </si>
  <si>
    <t>Orchestrator deployment</t>
  </si>
  <si>
    <t>TASK-14</t>
  </si>
  <si>
    <t>Q22</t>
  </si>
  <si>
    <t>Continuous Celery Processing Queue: Redis queue integration</t>
  </si>
  <si>
    <t>Redis / Celery deployment</t>
  </si>
  <si>
    <t>TASK-15</t>
  </si>
  <si>
    <t>Q23</t>
  </si>
  <si>
    <t>Real-Time Pre-Entry Validation: Low-latency check API middleware</t>
  </si>
  <si>
    <t>CRM/ERP hook configuration</t>
  </si>
  <si>
    <t>TASK-16</t>
  </si>
  <si>
    <t>Q24</t>
  </si>
  <si>
    <t>Celery Beat Automated Monitoring: Scheduled quality checks</t>
  </si>
  <si>
    <t>Staging DB connections</t>
  </si>
  <si>
    <t>TASK-17</t>
  </si>
  <si>
    <t>Q25</t>
  </si>
  <si>
    <t>Multi-Channel Notification Alerts: Slack, MS Teams, and Email webhooks</t>
  </si>
  <si>
    <t>Webhook URL configurations</t>
  </si>
  <si>
    <t>TASK-18</t>
  </si>
  <si>
    <t>Q31</t>
  </si>
  <si>
    <t>Fine-Grained Role-Based Access Control: FastAPI/Prisma RBAC</t>
  </si>
  <si>
    <t>Entra ID AD group maps</t>
  </si>
  <si>
    <t>TASK-19</t>
  </si>
  <si>
    <t>Q32</t>
  </si>
  <si>
    <t>Microsoft Entra ID SSO: OpenID Connect auth in NextAuth.js</t>
  </si>
  <si>
    <t>Entra ID App registration config</t>
  </si>
  <si>
    <t>TASK-20</t>
  </si>
  <si>
    <t>Q33</t>
  </si>
  <si>
    <t>Encrypted Credentials Manager: AWS KMS / Azure Key Vault integration</t>
  </si>
  <si>
    <t>Cloud KMS IAM permissions</t>
  </si>
  <si>
    <t>TASK-21</t>
  </si>
  <si>
    <t>Q36</t>
  </si>
  <si>
    <t>Multi-LLM LiteLLM Router Integration: Dynamic route failover</t>
  </si>
  <si>
    <t>LLM API keys &amp; configurations</t>
  </si>
  <si>
    <t>TASK-22</t>
  </si>
  <si>
    <t>Q37</t>
  </si>
  <si>
    <t>Enterprise Production Helm Charts: Deployment &amp; autoscaling (HPA)</t>
  </si>
  <si>
    <t>EKS/AKS access</t>
  </si>
  <si>
    <t>TASK-23</t>
  </si>
  <si>
    <t>-</t>
  </si>
  <si>
    <t>Enhancing Accuracy Results: Merge accuracy result optimization and validation metrics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</si>
</sst>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1"/>
      <color rgb="FF000000"/>
      <name val="Carlito"/>
      <scheme val="minor"/>
    </font>
    <font>
      <b/>
      <sz val="16"/>
      <color rgb="FFFFFFFF"/>
      <name val="Carlito"/>
    </font>
    <font>
      <sz val="11"/>
      <color theme="1"/>
      <name val="Carlito"/>
    </font>
    <font>
      <i/>
      <sz val="11"/>
      <color rgb="FF1F4E78"/>
      <name val="Carlito"/>
    </font>
    <font>
      <b/>
      <sz val="11"/>
      <color rgb="FFFFFFFF"/>
      <name val="Carlito"/>
    </font>
    <font>
      <b/>
      <sz val="11"/>
      <color theme="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AF7"/>
        <bgColor rgb="FFD9EAF7"/>
      </patternFill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vertical="center"/>
    </xf>
    <xf numFmtId="0" fontId="4" fillId="4" borderId="0" xfId="0" applyFont="1" applyFill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4" borderId="0" xfId="0" applyFont="1" applyFill="1" applyAlignment="1">
      <alignment horizontal="center" vertical="top"/>
    </xf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vertical="top" wrapText="1"/>
    </xf>
    <xf numFmtId="0" fontId="5" fillId="0" borderId="0" xfId="0" applyFont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3" fillId="3" borderId="0" xfId="0" applyFont="1" applyFill="1" applyAlignment="1">
      <alignment horizontal="center" vertical="center"/>
    </xf>
  </cellXfs>
  <cellStyles count="1">
    <cellStyle name="Normal" xfId="0" builtinId="0"/>
  </cellStyles>
  <dxfs count="9">
    <dxf>
      <font>
        <color rgb="FF666666"/>
      </font>
      <fill>
        <patternFill patternType="solid">
          <fgColor rgb="FFF2F2F2"/>
          <bgColor rgb="FFF2F2F2"/>
        </patternFill>
      </fill>
    </dxf>
    <dxf>
      <font>
        <b/>
        <color rgb="FF7F6000"/>
      </font>
      <fill>
        <patternFill patternType="solid">
          <fgColor rgb="FFFFF2CC"/>
          <bgColor rgb="FFFFF2CC"/>
        </patternFill>
      </fill>
    </dxf>
    <dxf>
      <font>
        <b/>
        <color rgb="FF1F4E78"/>
      </font>
      <fill>
        <patternFill patternType="solid">
          <fgColor rgb="FFDDEBF7"/>
          <bgColor rgb="FFDDEBF7"/>
        </patternFill>
      </fill>
    </dxf>
    <dxf>
      <font>
        <b/>
        <color rgb="FF006100"/>
      </font>
      <fill>
        <patternFill patternType="solid">
          <fgColor rgb="FFE2F0D9"/>
          <bgColor rgb="FFE2F0D9"/>
        </patternFill>
      </fill>
    </dxf>
    <dxf>
      <font>
        <b/>
        <color rgb="FF7F6000"/>
      </font>
      <fill>
        <patternFill patternType="solid">
          <fgColor rgb="FFFFF2CC"/>
          <bgColor rgb="FFFFF2CC"/>
        </patternFill>
      </fill>
    </dxf>
    <dxf>
      <font>
        <b/>
        <color rgb="FFC00000"/>
      </font>
      <fill>
        <patternFill patternType="solid">
          <fgColor rgb="FFFCE4D6"/>
          <bgColor rgb="FFFCE4D6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Task Tracker-style" pivot="0" count="3" xr9:uid="{00000000-0011-0000-FFFF-FFFF00000000}">
      <tableStyleElement type="headerRow" dxfId="8"/>
      <tableStyleElement type="firstRowStripe" dxfId="7"/>
      <tableStyleElement type="secondRowStripe" dxfId="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v>Count</c:v>
          </c:tx>
          <c:spPr>
            <a:solidFill>
              <a:srgbClr val="156082"/>
            </a:solidFill>
            <a:ln cmpd="sng">
              <a:noFill/>
            </a:ln>
          </c:spPr>
          <c:invertIfNegative val="1"/>
          <c:cat>
            <c:strRef>
              <c:f>Summary!$D$5:$D$8</c:f>
              <c:strCache>
                <c:ptCount val="4"/>
                <c:pt idx="0">
                  <c:v>Done</c:v>
                </c:pt>
                <c:pt idx="1">
                  <c:v>Dev-Done</c:v>
                </c:pt>
                <c:pt idx="2">
                  <c:v>In-Progress</c:v>
                </c:pt>
                <c:pt idx="3">
                  <c:v>Pending</c:v>
                </c:pt>
              </c:strCache>
            </c:strRef>
          </c:cat>
          <c:val>
            <c:numRef>
              <c:f>Summary!$E$5:$E$8</c:f>
              <c:numCache>
                <c:formatCode>General</c:formatCode>
                <c:ptCount val="4"/>
                <c:pt idx="0">
                  <c:v>3</c:v>
                </c:pt>
                <c:pt idx="1">
                  <c:v>2</c:v>
                </c:pt>
                <c:pt idx="2">
                  <c:v>1</c:v>
                </c:pt>
                <c:pt idx="3">
                  <c:v>17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32D-46FF-A8DC-CBE64E55C3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13479944"/>
        <c:axId val="304279563"/>
      </c:barChart>
      <c:catAx>
        <c:axId val="10134799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04279563"/>
        <c:crosses val="autoZero"/>
        <c:auto val="1"/>
        <c:lblAlgn val="ctr"/>
        <c:lblOffset val="100"/>
        <c:noMultiLvlLbl val="1"/>
      </c:catAx>
      <c:valAx>
        <c:axId val="3042795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13479944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156082"/>
              </a:solidFill>
            </c:spPr>
            <c:extLst>
              <c:ext xmlns:c16="http://schemas.microsoft.com/office/drawing/2014/chart" uri="{C3380CC4-5D6E-409C-BE32-E72D297353CC}">
                <c16:uniqueId val="{00000001-C08A-435A-9E17-8E08F03F7EF7}"/>
              </c:ext>
            </c:extLst>
          </c:dPt>
          <c:dPt>
            <c:idx val="1"/>
            <c:bubble3D val="0"/>
            <c:spPr>
              <a:solidFill>
                <a:srgbClr val="E97132"/>
              </a:solidFill>
            </c:spPr>
            <c:extLst>
              <c:ext xmlns:c16="http://schemas.microsoft.com/office/drawing/2014/chart" uri="{C3380CC4-5D6E-409C-BE32-E72D297353CC}">
                <c16:uniqueId val="{00000003-C08A-435A-9E17-8E08F03F7EF7}"/>
              </c:ext>
            </c:extLst>
          </c:dPt>
          <c:dPt>
            <c:idx val="2"/>
            <c:bubble3D val="0"/>
            <c:spPr>
              <a:solidFill>
                <a:srgbClr val="196B24"/>
              </a:solidFill>
            </c:spPr>
            <c:extLst>
              <c:ext xmlns:c16="http://schemas.microsoft.com/office/drawing/2014/chart" uri="{C3380CC4-5D6E-409C-BE32-E72D297353CC}">
                <c16:uniqueId val="{00000005-C08A-435A-9E17-8E08F03F7EF7}"/>
              </c:ext>
            </c:extLst>
          </c:dPt>
          <c:cat>
            <c:strRef>
              <c:f>Summary!$A$12:$A$14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Summary!$B$12:$B$14</c:f>
              <c:numCache>
                <c:formatCode>General</c:formatCode>
                <c:ptCount val="3"/>
                <c:pt idx="0">
                  <c:v>9</c:v>
                </c:pt>
                <c:pt idx="1">
                  <c:v>14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08A-435A-9E17-8E08F03F7E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3</xdr:row>
      <xdr:rowOff>0</xdr:rowOff>
    </xdr:from>
    <xdr:ext cx="5257800" cy="30003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6</xdr:col>
      <xdr:colOff>0</xdr:colOff>
      <xdr:row>19</xdr:row>
      <xdr:rowOff>0</xdr:rowOff>
    </xdr:from>
    <xdr:ext cx="5257800" cy="3000375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4:F27">
  <tableColumns count="6">
    <tableColumn id="1" xr3:uid="{00000000-0010-0000-0000-000001000000}" name="Task ID"/>
    <tableColumn id="2" xr3:uid="{00000000-0010-0000-0000-000002000000}" name="Client Q#"/>
    <tableColumn id="3" xr3:uid="{00000000-0010-0000-0000-000003000000}" name="Task Title &amp; Description"/>
    <tableColumn id="4" xr3:uid="{00000000-0010-0000-0000-000004000000}" name="Complexity"/>
    <tableColumn id="5" xr3:uid="{00000000-0010-0000-0000-000005000000}" name="Key Dependencies"/>
    <tableColumn id="6" xr3:uid="{00000000-0010-0000-0000-000006000000}" name="Status"/>
  </tableColumns>
  <tableStyleInfo name="Task Tracker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sqref="A1:H1"/>
    </sheetView>
  </sheetViews>
  <sheetFormatPr defaultColWidth="12.625" defaultRowHeight="15" customHeight="1"/>
  <cols>
    <col min="1" max="2" width="18" customWidth="1"/>
    <col min="3" max="3" width="8.625" customWidth="1"/>
    <col min="4" max="4" width="28" customWidth="1"/>
    <col min="5" max="5" width="12" customWidth="1"/>
    <col min="6" max="26" width="8.625" customWidth="1"/>
  </cols>
  <sheetData>
    <row r="1" spans="1:26" ht="30" customHeight="1">
      <c r="A1" s="10" t="s">
        <v>0</v>
      </c>
      <c r="B1" s="11"/>
      <c r="C1" s="11"/>
      <c r="D1" s="11"/>
      <c r="E1" s="11"/>
      <c r="F1" s="11"/>
      <c r="G1" s="11"/>
      <c r="H1" s="1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1.75" customHeight="1">
      <c r="A2" s="12" t="s">
        <v>1</v>
      </c>
      <c r="B2" s="11"/>
      <c r="C2" s="11"/>
      <c r="D2" s="11"/>
      <c r="E2" s="11"/>
      <c r="F2" s="11"/>
      <c r="G2" s="11"/>
      <c r="H2" s="11"/>
    </row>
    <row r="4" spans="1:26">
      <c r="A4" s="2" t="s">
        <v>2</v>
      </c>
      <c r="B4" s="2" t="s">
        <v>3</v>
      </c>
      <c r="D4" s="2" t="s">
        <v>4</v>
      </c>
      <c r="E4" s="2" t="s">
        <v>5</v>
      </c>
    </row>
    <row r="5" spans="1:26">
      <c r="A5" s="3" t="s">
        <v>6</v>
      </c>
      <c r="B5" s="4">
        <v>23</v>
      </c>
      <c r="D5" s="5" t="s">
        <v>7</v>
      </c>
      <c r="E5" s="5">
        <f>COUNTIF('Task Tracker'!$F$5:$F$27,D5)</f>
        <v>3</v>
      </c>
    </row>
    <row r="6" spans="1:26">
      <c r="A6" s="3" t="s">
        <v>8</v>
      </c>
      <c r="B6" s="4">
        <f>COUNTIF('Task Tracker'!$F$5:$F$27,"Done")</f>
        <v>3</v>
      </c>
      <c r="D6" s="5" t="s">
        <v>9</v>
      </c>
      <c r="E6" s="5">
        <f>COUNTIF('Task Tracker'!$F$5:$F$27,D6)</f>
        <v>2</v>
      </c>
    </row>
    <row r="7" spans="1:26">
      <c r="A7" s="3" t="s">
        <v>9</v>
      </c>
      <c r="B7" s="4">
        <f>COUNTIF('Task Tracker'!$F$5:$F$27,"Dev-Done")</f>
        <v>2</v>
      </c>
      <c r="D7" s="5" t="s">
        <v>10</v>
      </c>
      <c r="E7" s="5">
        <f>COUNTIF('Task Tracker'!$F$5:$F$27,D7)</f>
        <v>1</v>
      </c>
    </row>
    <row r="8" spans="1:26">
      <c r="A8" s="3" t="s">
        <v>11</v>
      </c>
      <c r="B8" s="4">
        <f>COUNTIF('Task Tracker'!$F$5:$F$27,"Pending")</f>
        <v>17</v>
      </c>
      <c r="D8" s="5" t="s">
        <v>11</v>
      </c>
      <c r="E8" s="5">
        <f>COUNTIF('Task Tracker'!$F$5:$F$27,D8)</f>
        <v>17</v>
      </c>
    </row>
    <row r="11" spans="1:26">
      <c r="A11" s="2" t="s">
        <v>12</v>
      </c>
      <c r="B11" s="2" t="s">
        <v>5</v>
      </c>
      <c r="D11" s="2" t="s">
        <v>13</v>
      </c>
      <c r="E11" s="2" t="s">
        <v>5</v>
      </c>
      <c r="F11" s="2"/>
      <c r="G11" s="2"/>
      <c r="H11" s="2"/>
    </row>
    <row r="12" spans="1:26">
      <c r="A12" s="5" t="s">
        <v>14</v>
      </c>
      <c r="B12" s="5">
        <f>COUNTIF('Task Tracker'!$D$5:$D$27,A12)</f>
        <v>9</v>
      </c>
      <c r="D12" s="3" t="s">
        <v>15</v>
      </c>
      <c r="E12" s="4">
        <f>COUNTIF('Task Tracker'!$E$5:$E$27,"None")</f>
        <v>4</v>
      </c>
    </row>
    <row r="13" spans="1:26">
      <c r="A13" s="5" t="s">
        <v>16</v>
      </c>
      <c r="B13" s="5">
        <f>COUNTIF('Task Tracker'!$D$5:$D$27,A13)</f>
        <v>14</v>
      </c>
      <c r="D13" s="3" t="s">
        <v>17</v>
      </c>
      <c r="E13" s="4">
        <f>COUNTA('Task Tracker'!$E$5:$E$27)-E12</f>
        <v>19</v>
      </c>
    </row>
    <row r="14" spans="1:26">
      <c r="A14" s="5" t="s">
        <v>18</v>
      </c>
      <c r="B14" s="5">
        <f>COUNTIF('Task Tracker'!$D$5:$D$27,A14)</f>
        <v>0</v>
      </c>
      <c r="D14" s="3" t="s">
        <v>19</v>
      </c>
      <c r="E14" s="4">
        <f>COUNTIFS('Task Tracker'!$D$5:$D$27,"High",'Task Tracker'!$F$5:$F$27,"Pending")</f>
        <v>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2:H2"/>
  </mergeCells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abSelected="1" topLeftCell="A4" zoomScaleNormal="100" workbookViewId="0">
      <selection activeCell="H6" sqref="H6"/>
    </sheetView>
  </sheetViews>
  <sheetFormatPr defaultColWidth="12.625" defaultRowHeight="15" customHeight="1"/>
  <cols>
    <col min="1" max="2" width="12" customWidth="1"/>
    <col min="3" max="3" width="58" customWidth="1"/>
    <col min="4" max="4" width="14" customWidth="1"/>
    <col min="5" max="5" width="34" customWidth="1"/>
    <col min="6" max="6" width="16" customWidth="1"/>
    <col min="7" max="26" width="8.625" customWidth="1"/>
  </cols>
  <sheetData>
    <row r="1" spans="1:26" ht="30" customHeight="1">
      <c r="A1" s="10" t="s">
        <v>20</v>
      </c>
      <c r="B1" s="11"/>
      <c r="C1" s="11"/>
      <c r="D1" s="11"/>
      <c r="E1" s="11"/>
      <c r="F1" s="1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1.75" customHeight="1">
      <c r="A2" s="12" t="s">
        <v>21</v>
      </c>
      <c r="B2" s="11"/>
      <c r="C2" s="11"/>
      <c r="D2" s="11"/>
      <c r="E2" s="11"/>
      <c r="F2" s="11"/>
    </row>
    <row r="4" spans="1:26" ht="24" customHeight="1">
      <c r="A4" s="6" t="s">
        <v>22</v>
      </c>
      <c r="B4" s="6" t="s">
        <v>23</v>
      </c>
      <c r="C4" s="6" t="s">
        <v>24</v>
      </c>
      <c r="D4" s="6" t="s">
        <v>12</v>
      </c>
      <c r="E4" s="6" t="s">
        <v>25</v>
      </c>
      <c r="F4" s="6" t="s">
        <v>4</v>
      </c>
    </row>
    <row r="5" spans="1:26" ht="36" customHeight="1">
      <c r="A5" s="7" t="s">
        <v>26</v>
      </c>
      <c r="B5" s="7" t="s">
        <v>27</v>
      </c>
      <c r="C5" s="8" t="s">
        <v>28</v>
      </c>
      <c r="D5" s="7" t="s">
        <v>14</v>
      </c>
      <c r="E5" s="7" t="s">
        <v>29</v>
      </c>
      <c r="F5" s="7" t="s">
        <v>7</v>
      </c>
    </row>
    <row r="6" spans="1:26" ht="36" customHeight="1">
      <c r="A6" s="7" t="s">
        <v>30</v>
      </c>
      <c r="B6" s="7" t="s">
        <v>31</v>
      </c>
      <c r="C6" s="8" t="s">
        <v>32</v>
      </c>
      <c r="D6" s="7" t="s">
        <v>14</v>
      </c>
      <c r="E6" s="7" t="s">
        <v>33</v>
      </c>
      <c r="F6" s="7" t="s">
        <v>11</v>
      </c>
    </row>
    <row r="7" spans="1:26" ht="36" customHeight="1">
      <c r="A7" s="7" t="s">
        <v>34</v>
      </c>
      <c r="B7" s="7" t="s">
        <v>35</v>
      </c>
      <c r="C7" s="8" t="s">
        <v>36</v>
      </c>
      <c r="D7" s="7" t="s">
        <v>14</v>
      </c>
      <c r="E7" s="7" t="s">
        <v>37</v>
      </c>
      <c r="F7" s="7" t="s">
        <v>11</v>
      </c>
    </row>
    <row r="8" spans="1:26" ht="36" customHeight="1">
      <c r="A8" s="7" t="s">
        <v>38</v>
      </c>
      <c r="B8" s="7" t="s">
        <v>39</v>
      </c>
      <c r="C8" s="8" t="s">
        <v>40</v>
      </c>
      <c r="D8" s="7" t="s">
        <v>14</v>
      </c>
      <c r="E8" s="7" t="s">
        <v>41</v>
      </c>
      <c r="F8" s="7" t="s">
        <v>11</v>
      </c>
    </row>
    <row r="9" spans="1:26" ht="36" customHeight="1">
      <c r="A9" s="7" t="s">
        <v>42</v>
      </c>
      <c r="B9" s="7" t="s">
        <v>43</v>
      </c>
      <c r="C9" s="8" t="s">
        <v>44</v>
      </c>
      <c r="D9" s="7" t="s">
        <v>14</v>
      </c>
      <c r="E9" s="7" t="s">
        <v>45</v>
      </c>
      <c r="F9" s="7" t="s">
        <v>11</v>
      </c>
    </row>
    <row r="10" spans="1:26" ht="36" customHeight="1">
      <c r="A10" s="7" t="s">
        <v>46</v>
      </c>
      <c r="B10" s="7" t="s">
        <v>47</v>
      </c>
      <c r="C10" s="8" t="s">
        <v>48</v>
      </c>
      <c r="D10" s="7" t="s">
        <v>16</v>
      </c>
      <c r="E10" s="7" t="s">
        <v>49</v>
      </c>
      <c r="F10" s="7" t="s">
        <v>11</v>
      </c>
    </row>
    <row r="11" spans="1:26" ht="36" customHeight="1">
      <c r="A11" s="7" t="s">
        <v>50</v>
      </c>
      <c r="B11" s="7" t="s">
        <v>51</v>
      </c>
      <c r="C11" s="8" t="s">
        <v>52</v>
      </c>
      <c r="D11" s="7" t="s">
        <v>16</v>
      </c>
      <c r="E11" s="7" t="s">
        <v>29</v>
      </c>
      <c r="F11" s="7" t="s">
        <v>7</v>
      </c>
    </row>
    <row r="12" spans="1:26" ht="36" customHeight="1">
      <c r="A12" s="7" t="s">
        <v>53</v>
      </c>
      <c r="B12" s="7" t="s">
        <v>54</v>
      </c>
      <c r="C12" s="8" t="s">
        <v>55</v>
      </c>
      <c r="D12" s="7" t="s">
        <v>16</v>
      </c>
      <c r="E12" s="7" t="s">
        <v>29</v>
      </c>
      <c r="F12" s="7" t="s">
        <v>7</v>
      </c>
    </row>
    <row r="13" spans="1:26" ht="36" customHeight="1">
      <c r="A13" s="7" t="s">
        <v>56</v>
      </c>
      <c r="B13" s="7" t="s">
        <v>57</v>
      </c>
      <c r="C13" s="8" t="s">
        <v>58</v>
      </c>
      <c r="D13" s="7" t="s">
        <v>14</v>
      </c>
      <c r="E13" s="7" t="s">
        <v>59</v>
      </c>
      <c r="F13" s="7" t="s">
        <v>11</v>
      </c>
    </row>
    <row r="14" spans="1:26" ht="36" customHeight="1">
      <c r="A14" s="7" t="s">
        <v>60</v>
      </c>
      <c r="B14" s="7" t="s">
        <v>61</v>
      </c>
      <c r="C14" s="8" t="s">
        <v>62</v>
      </c>
      <c r="D14" s="7" t="s">
        <v>16</v>
      </c>
      <c r="E14" s="7" t="s">
        <v>63</v>
      </c>
      <c r="F14" s="7" t="s">
        <v>11</v>
      </c>
    </row>
    <row r="15" spans="1:26" ht="36" customHeight="1">
      <c r="A15" s="7" t="s">
        <v>64</v>
      </c>
      <c r="B15" s="7" t="s">
        <v>65</v>
      </c>
      <c r="C15" s="8" t="s">
        <v>66</v>
      </c>
      <c r="D15" s="7" t="s">
        <v>14</v>
      </c>
      <c r="E15" s="7" t="s">
        <v>67</v>
      </c>
      <c r="F15" s="7" t="s">
        <v>11</v>
      </c>
    </row>
    <row r="16" spans="1:26" ht="36" customHeight="1">
      <c r="A16" s="7" t="s">
        <v>68</v>
      </c>
      <c r="B16" s="7" t="s">
        <v>69</v>
      </c>
      <c r="C16" s="8" t="s">
        <v>70</v>
      </c>
      <c r="D16" s="7" t="s">
        <v>16</v>
      </c>
      <c r="E16" s="7" t="s">
        <v>71</v>
      </c>
      <c r="F16" s="7" t="s">
        <v>11</v>
      </c>
    </row>
    <row r="17" spans="1:6" ht="36" customHeight="1">
      <c r="A17" s="7" t="s">
        <v>72</v>
      </c>
      <c r="B17" s="7" t="s">
        <v>73</v>
      </c>
      <c r="C17" s="8" t="s">
        <v>74</v>
      </c>
      <c r="D17" s="7" t="s">
        <v>16</v>
      </c>
      <c r="E17" s="7" t="s">
        <v>75</v>
      </c>
      <c r="F17" s="7" t="s">
        <v>11</v>
      </c>
    </row>
    <row r="18" spans="1:6" ht="36" customHeight="1">
      <c r="A18" s="7" t="s">
        <v>76</v>
      </c>
      <c r="B18" s="7" t="s">
        <v>77</v>
      </c>
      <c r="C18" s="8" t="s">
        <v>78</v>
      </c>
      <c r="D18" s="7" t="s">
        <v>14</v>
      </c>
      <c r="E18" s="7" t="s">
        <v>79</v>
      </c>
      <c r="F18" s="7" t="s">
        <v>11</v>
      </c>
    </row>
    <row r="19" spans="1:6" ht="36" customHeight="1">
      <c r="A19" s="7" t="s">
        <v>80</v>
      </c>
      <c r="B19" s="7" t="s">
        <v>81</v>
      </c>
      <c r="C19" s="8" t="s">
        <v>82</v>
      </c>
      <c r="D19" s="7" t="s">
        <v>16</v>
      </c>
      <c r="E19" s="7" t="s">
        <v>83</v>
      </c>
      <c r="F19" s="7" t="s">
        <v>11</v>
      </c>
    </row>
    <row r="20" spans="1:6" ht="36" customHeight="1">
      <c r="A20" s="7" t="s">
        <v>84</v>
      </c>
      <c r="B20" s="7" t="s">
        <v>85</v>
      </c>
      <c r="C20" s="8" t="s">
        <v>86</v>
      </c>
      <c r="D20" s="7" t="s">
        <v>16</v>
      </c>
      <c r="E20" s="7" t="s">
        <v>87</v>
      </c>
      <c r="F20" s="7" t="s">
        <v>11</v>
      </c>
    </row>
    <row r="21" spans="1:6" ht="36" customHeight="1">
      <c r="A21" s="7" t="s">
        <v>88</v>
      </c>
      <c r="B21" s="7" t="s">
        <v>89</v>
      </c>
      <c r="C21" s="8" t="s">
        <v>90</v>
      </c>
      <c r="D21" s="7" t="s">
        <v>16</v>
      </c>
      <c r="E21" s="7" t="s">
        <v>91</v>
      </c>
      <c r="F21" s="7" t="s">
        <v>9</v>
      </c>
    </row>
    <row r="22" spans="1:6" ht="36" customHeight="1">
      <c r="A22" s="7" t="s">
        <v>92</v>
      </c>
      <c r="B22" s="7" t="s">
        <v>93</v>
      </c>
      <c r="C22" s="8" t="s">
        <v>94</v>
      </c>
      <c r="D22" s="7" t="s">
        <v>16</v>
      </c>
      <c r="E22" s="7" t="s">
        <v>95</v>
      </c>
      <c r="F22" s="7" t="s">
        <v>11</v>
      </c>
    </row>
    <row r="23" spans="1:6" ht="36" customHeight="1">
      <c r="A23" s="7" t="s">
        <v>96</v>
      </c>
      <c r="B23" s="7" t="s">
        <v>97</v>
      </c>
      <c r="C23" s="8" t="s">
        <v>98</v>
      </c>
      <c r="D23" s="7" t="s">
        <v>16</v>
      </c>
      <c r="E23" s="7" t="s">
        <v>99</v>
      </c>
      <c r="F23" s="7" t="s">
        <v>11</v>
      </c>
    </row>
    <row r="24" spans="1:6" ht="36" customHeight="1">
      <c r="A24" s="7" t="s">
        <v>100</v>
      </c>
      <c r="B24" s="7" t="s">
        <v>101</v>
      </c>
      <c r="C24" s="8" t="s">
        <v>102</v>
      </c>
      <c r="D24" s="7" t="s">
        <v>16</v>
      </c>
      <c r="E24" s="7" t="s">
        <v>103</v>
      </c>
      <c r="F24" s="7" t="s">
        <v>11</v>
      </c>
    </row>
    <row r="25" spans="1:6" ht="36" customHeight="1">
      <c r="A25" s="7" t="s">
        <v>104</v>
      </c>
      <c r="B25" s="7" t="s">
        <v>105</v>
      </c>
      <c r="C25" s="8" t="s">
        <v>106</v>
      </c>
      <c r="D25" s="7" t="s">
        <v>16</v>
      </c>
      <c r="E25" s="7" t="s">
        <v>107</v>
      </c>
      <c r="F25" s="7" t="s">
        <v>9</v>
      </c>
    </row>
    <row r="26" spans="1:6" ht="36" customHeight="1">
      <c r="A26" s="7" t="s">
        <v>108</v>
      </c>
      <c r="B26" s="7" t="s">
        <v>109</v>
      </c>
      <c r="C26" s="8" t="s">
        <v>110</v>
      </c>
      <c r="D26" s="7" t="s">
        <v>14</v>
      </c>
      <c r="E26" s="7" t="s">
        <v>111</v>
      </c>
      <c r="F26" s="7" t="s">
        <v>11</v>
      </c>
    </row>
    <row r="27" spans="1:6" ht="36" customHeight="1">
      <c r="A27" s="7" t="s">
        <v>112</v>
      </c>
      <c r="B27" s="7" t="s">
        <v>113</v>
      </c>
      <c r="C27" s="8" t="s">
        <v>114</v>
      </c>
      <c r="D27" s="7" t="s">
        <v>16</v>
      </c>
      <c r="E27" s="7" t="s">
        <v>29</v>
      </c>
      <c r="F27" s="7" t="s">
        <v>10</v>
      </c>
    </row>
    <row r="28" spans="1:6" ht="15.75" customHeight="1"/>
    <row r="29" spans="1:6" ht="15.75" customHeight="1"/>
    <row r="30" spans="1:6" ht="15.75" customHeight="1"/>
    <row r="31" spans="1:6" ht="15.75" customHeight="1"/>
    <row r="32" spans="1:6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2:F2"/>
  </mergeCells>
  <conditionalFormatting sqref="D5:D27">
    <cfRule type="expression" dxfId="5" priority="1">
      <formula>D5="High"</formula>
    </cfRule>
    <cfRule type="expression" dxfId="4" priority="2">
      <formula>D5="Medium"</formula>
    </cfRule>
  </conditionalFormatting>
  <conditionalFormatting sqref="F5:F27">
    <cfRule type="expression" dxfId="3" priority="3">
      <formula>F5="Done"</formula>
    </cfRule>
    <cfRule type="expression" dxfId="2" priority="4">
      <formula>F5="Dev-Done"</formula>
    </cfRule>
    <cfRule type="expression" dxfId="1" priority="5">
      <formula>F5="In-Progress"</formula>
    </cfRule>
    <cfRule type="expression" dxfId="0" priority="6">
      <formula>F5="Pending"</formula>
    </cfRule>
  </conditionalFormatting>
  <dataValidations count="2">
    <dataValidation type="list" allowBlank="1" sqref="F5:F27" xr:uid="{00000000-0002-0000-0100-000000000000}">
      <formula1>"Pending,In-Progress,Dev-Done,Done"</formula1>
    </dataValidation>
    <dataValidation type="list" allowBlank="1" sqref="D5:D27" xr:uid="{00000000-0002-0000-0100-000001000000}">
      <formula1>"High,Medium,Low"</formula1>
    </dataValidation>
  </dataValidations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2.625" defaultRowHeight="15" customHeight="1"/>
  <cols>
    <col min="1" max="2" width="16" customWidth="1"/>
    <col min="3" max="3" width="8.625" customWidth="1"/>
    <col min="4" max="5" width="16" customWidth="1"/>
    <col min="6" max="26" width="8.625" customWidth="1"/>
  </cols>
  <sheetData>
    <row r="1" spans="1:26">
      <c r="A1" s="9" t="s">
        <v>4</v>
      </c>
      <c r="B1" s="9" t="s">
        <v>5</v>
      </c>
      <c r="C1" s="1"/>
      <c r="D1" s="9" t="s">
        <v>12</v>
      </c>
      <c r="E1" s="9" t="s">
        <v>5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3" t="s">
        <v>7</v>
      </c>
      <c r="B2" s="3">
        <f>COUNTIF('Task Tracker'!$F$5:$F$27,A2)</f>
        <v>3</v>
      </c>
      <c r="D2" s="3" t="s">
        <v>14</v>
      </c>
      <c r="E2" s="3">
        <f>COUNTIF('Task Tracker'!$D$5:$D$27,D2)</f>
        <v>9</v>
      </c>
    </row>
    <row r="3" spans="1:26">
      <c r="A3" s="3" t="s">
        <v>9</v>
      </c>
      <c r="B3" s="3">
        <f>COUNTIF('Task Tracker'!$F$5:$F$27,A3)</f>
        <v>2</v>
      </c>
      <c r="D3" s="3" t="s">
        <v>16</v>
      </c>
      <c r="E3" s="3">
        <f>COUNTIF('Task Tracker'!$D$5:$D$27,D3)</f>
        <v>14</v>
      </c>
    </row>
    <row r="4" spans="1:26">
      <c r="A4" s="3" t="s">
        <v>10</v>
      </c>
      <c r="B4" s="3">
        <f>COUNTIF('Task Tracker'!$F$5:$F$27,A4)</f>
        <v>1</v>
      </c>
      <c r="D4" s="3" t="s">
        <v>18</v>
      </c>
      <c r="E4" s="3">
        <f>COUNTIF('Task Tracker'!$D$5:$D$27,D4)</f>
        <v>0</v>
      </c>
    </row>
    <row r="5" spans="1:26">
      <c r="A5" s="3" t="s">
        <v>11</v>
      </c>
      <c r="B5" s="3">
        <f>COUNTIF('Task Tracker'!$F$5:$F$27,A5)</f>
        <v>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Task Tracker</vt:lpstr>
      <vt:lpstr>Lookups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Rayaz Siddiqi</dc:creator>
  <cp:lastModifiedBy>Rayaz Siddiqi</cp:lastModifiedBy>
  <dcterms:created xsi:type="dcterms:W3CDTF">2026-07-05T11:00:03Z</dcterms:created>
  <dcterms:modified xsi:type="dcterms:W3CDTF">2026-07-21T10:12:15Z</dcterms:modified>
</cp:coreProperties>
</file>